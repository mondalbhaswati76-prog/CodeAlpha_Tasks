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5810F1F6-802A-45F7-AC9E-7632FB7028F9}" xr6:coauthVersionLast="47" xr6:coauthVersionMax="47" xr10:uidLastSave="{00000000-0000-0000-0000-000000000000}"/>
  <workbookProtection workbookAlgorithmName="SHA-512" workbookHashValue="Lk6IotDEyA3mVOIIIkEPlwJ8ic93A+rY6q4R5wUBtkRd/d4TLNqi8x4bUSVG1j/sh8b+WdFmzUGzKRJzDyeGqw==" workbookSaltValue="9u4iv+/vk/V0/N0FEDhIjw==" workbookSpinCount="100000" lockStructure="1"/>
  <bookViews>
    <workbookView xWindow="-108" yWindow="-108" windowWidth="23256" windowHeight="12456" xr2:uid="{42BB8DD5-8289-4D6A-8DEE-4DAAF9DFB4CB}"/>
  </bookViews>
  <sheets>
    <sheet name="Price_Data" sheetId="1" r:id="rId1"/>
    <sheet name="Monthly_Returns" sheetId="2" r:id="rId2"/>
    <sheet name="Risk vs Return" sheetId="4" r:id="rId3"/>
    <sheet name="Performance_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2" i="4"/>
  <c r="B3" i="4"/>
  <c r="B4" i="3"/>
  <c r="B3" i="3"/>
  <c r="B2" i="3"/>
  <c r="D4" i="2"/>
  <c r="D5" i="2"/>
  <c r="D6" i="2"/>
  <c r="D7" i="2"/>
  <c r="D8" i="2"/>
  <c r="D9" i="2"/>
  <c r="D10" i="2"/>
  <c r="D11" i="2"/>
  <c r="D12" i="2"/>
  <c r="D13" i="2"/>
  <c r="D3" i="2"/>
  <c r="C4" i="2"/>
  <c r="C5" i="2"/>
  <c r="C6" i="2"/>
  <c r="C7" i="2"/>
  <c r="C8" i="2"/>
  <c r="C9" i="2"/>
  <c r="C10" i="2"/>
  <c r="C11" i="2"/>
  <c r="C12" i="2"/>
  <c r="C13" i="2"/>
  <c r="C3" i="2"/>
  <c r="B3" i="2"/>
  <c r="B4" i="2"/>
  <c r="B5" i="2"/>
  <c r="B6" i="2"/>
  <c r="B7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<sst xmlns="http://schemas.openxmlformats.org/spreadsheetml/2006/main" count="54" uniqueCount="35">
  <si>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</si>
  <si>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</si>
  <si>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</si>
  <si>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</si>
  <si>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</si>
  <si>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</si>
  <si>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</si>
  <si>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</si>
  <si>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</si>
  <si>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</si>
  <si>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</si>
  <si>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</si>
  <si>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</si>
  <si>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BTC Price (₹)</t>
  </si>
  <si>
    <t>ETH Price (₹)</t>
  </si>
  <si>
    <t>SOL Price (₹)</t>
  </si>
  <si>
    <t>N/A</t>
  </si>
  <si>
    <t>BTC Return %</t>
  </si>
  <si>
    <t>ETH Return %</t>
  </si>
  <si>
    <t>SOL Return %</t>
  </si>
  <si>
    <t>Cryptocurrency</t>
  </si>
  <si>
    <t>Annual Returns %</t>
  </si>
  <si>
    <t>Risk Level</t>
  </si>
  <si>
    <t>Investment Type</t>
  </si>
  <si>
    <t>Bitcoin</t>
  </si>
  <si>
    <t>Ethereum</t>
  </si>
  <si>
    <t>Solana</t>
  </si>
  <si>
    <t>Medium</t>
  </si>
  <si>
    <t>Medium-High</t>
  </si>
  <si>
    <t>High</t>
  </si>
  <si>
    <t>Long-term</t>
  </si>
  <si>
    <t>Growth</t>
  </si>
  <si>
    <t>High Risk</t>
  </si>
  <si>
    <t>Risk(volatility %)</t>
  </si>
  <si>
    <t>Annual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</si>
</sst>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Trend(Last 12 Month)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Price_Data!$B$1</c:f>
              <c:strCache>
                <c:ptCount val="1"/>
                <c:pt idx="0">
                  <c:v>BTC Price (₹)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Price_Data!$A$2:$A$13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Price_Data!$B$2:$B$13</c:f>
              <c:numCache>
                <c:formatCode>General</c:formatCode>
                <c:ptCount val="12"/>
                <c:pt idx="0">
                  <c:v>3600000</c:v>
                </c:pt>
                <c:pt idx="1">
                  <c:v>3850000</c:v>
                </c:pt>
                <c:pt idx="2">
                  <c:v>4000000</c:v>
                </c:pt>
                <c:pt idx="3">
                  <c:v>3950000</c:v>
                </c:pt>
                <c:pt idx="4">
                  <c:v>4100000</c:v>
                </c:pt>
                <c:pt idx="5">
                  <c:v>4200000</c:v>
                </c:pt>
                <c:pt idx="6">
                  <c:v>4300000</c:v>
                </c:pt>
                <c:pt idx="7">
                  <c:v>4250000</c:v>
                </c:pt>
                <c:pt idx="8">
                  <c:v>4400000</c:v>
                </c:pt>
                <c:pt idx="9">
                  <c:v>4500000</c:v>
                </c:pt>
                <c:pt idx="10">
                  <c:v>4450000</c:v>
                </c:pt>
                <c:pt idx="11">
                  <c:v>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C5F-B52F-D26BC62590EA}"/>
            </c:ext>
          </c:extLst>
        </c:ser>
        <c:ser>
          <c:idx val="1"/>
          <c:order val="1"/>
          <c:tx>
            <c:strRef>
              <c:f>Price_Data!$C$1</c:f>
              <c:strCache>
                <c:ptCount val="1"/>
                <c:pt idx="0">
                  <c:v>ETH Price (₹)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Price_Data!$A$2:$A$13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Price_Data!$C$2:$C$13</c:f>
              <c:numCache>
                <c:formatCode>General</c:formatCode>
                <c:ptCount val="12"/>
                <c:pt idx="0">
                  <c:v>240000</c:v>
                </c:pt>
                <c:pt idx="1">
                  <c:v>260000</c:v>
                </c:pt>
                <c:pt idx="2">
                  <c:v>275000</c:v>
                </c:pt>
                <c:pt idx="3">
                  <c:v>270000</c:v>
                </c:pt>
                <c:pt idx="4">
                  <c:v>285000</c:v>
                </c:pt>
                <c:pt idx="5">
                  <c:v>295000</c:v>
                </c:pt>
                <c:pt idx="6">
                  <c:v>305000</c:v>
                </c:pt>
                <c:pt idx="7">
                  <c:v>300000</c:v>
                </c:pt>
                <c:pt idx="8">
                  <c:v>310000</c:v>
                </c:pt>
                <c:pt idx="9">
                  <c:v>320000</c:v>
                </c:pt>
                <c:pt idx="10">
                  <c:v>315000</c:v>
                </c:pt>
                <c:pt idx="11">
                  <c:v>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C-4C5F-B52F-D26BC625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785888"/>
        <c:axId val="388771488"/>
      </c:lineChart>
      <c:lineChart>
        <c:grouping val="standard"/>
        <c:varyColors val="0"/>
        <c:ser>
          <c:idx val="2"/>
          <c:order val="2"/>
          <c:tx>
            <c:strRef>
              <c:f>Price_Data!$D$1</c:f>
              <c:strCache>
                <c:ptCount val="1"/>
                <c:pt idx="0">
                  <c:v>SOL Price (₹)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Price_Data!$A$2:$A$13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Price_Data!$D$2:$D$13</c:f>
              <c:numCache>
                <c:formatCode>General</c:formatCode>
                <c:ptCount val="12"/>
                <c:pt idx="0">
                  <c:v>8000</c:v>
                </c:pt>
                <c:pt idx="1">
                  <c:v>9200</c:v>
                </c:pt>
                <c:pt idx="2">
                  <c:v>9500</c:v>
                </c:pt>
                <c:pt idx="3">
                  <c:v>9100</c:v>
                </c:pt>
                <c:pt idx="4">
                  <c:v>9800</c:v>
                </c:pt>
                <c:pt idx="5">
                  <c:v>10000</c:v>
                </c:pt>
                <c:pt idx="6">
                  <c:v>10500</c:v>
                </c:pt>
                <c:pt idx="7">
                  <c:v>10200</c:v>
                </c:pt>
                <c:pt idx="8">
                  <c:v>10800</c:v>
                </c:pt>
                <c:pt idx="9">
                  <c:v>11000</c:v>
                </c:pt>
                <c:pt idx="10">
                  <c:v>10850</c:v>
                </c:pt>
                <c:pt idx="11">
                  <c:v>11500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C-4C5F-B52F-D26BC625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29520"/>
        <c:axId val="1393310320"/>
      </c:lineChart>
      <c:catAx>
        <c:axId val="38878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4605009754129388"/>
              <c:y val="0.81716113868604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71488"/>
        <c:crosses val="autoZero"/>
        <c:auto val="1"/>
        <c:lblAlgn val="ctr"/>
        <c:lblOffset val="100"/>
        <c:noMultiLvlLbl val="0"/>
      </c:catAx>
      <c:valAx>
        <c:axId val="388771488"/>
        <c:scaling>
          <c:orientation val="minMax"/>
          <c:min val="24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85888"/>
        <c:crosses val="autoZero"/>
        <c:crossBetween val="between"/>
        <c:majorUnit val="500000"/>
      </c:valAx>
      <c:valAx>
        <c:axId val="1393310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29520"/>
        <c:crosses val="max"/>
        <c:crossBetween val="between"/>
      </c:valAx>
      <c:catAx>
        <c:axId val="139332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3310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vs Return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'Risk vs Return'!$C$1</c:f>
              <c:strCache>
                <c:ptCount val="1"/>
                <c:pt idx="0">
                  <c:v>Annual Return %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C0930FD-5924-47B3-A210-374236431EA7}" type="CELLRANGE">
                      <a:rPr lang="en-IN"/>
                      <a:pPr/>
                      <a:t>[CELLRANGE]</a:t>
                    </a:fld>
                    <a:r>
                      <a:rPr lang="en-IN" baseline="0"/>
                      <a:t>, </a:t>
                    </a:r>
                    <a:fld id="{08F7E117-74C9-4EAA-96BE-5CD26FB3C7EE}" type="XVALUE">
                      <a:rPr lang="en-IN" baseline="0"/>
                      <a:pPr/>
                      <a:t>[X VALUE]</a:t>
                    </a:fld>
                    <a:endParaRPr lang="en-IN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C29-4733-860E-A9172C5526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3AD133-9DB9-41FB-A27B-15E390A36CFC}" type="CELLRANGE">
                      <a:rPr lang="en-IN"/>
                      <a:pPr/>
                      <a:t>[CELLRANGE]</a:t>
                    </a:fld>
                    <a:r>
                      <a:rPr lang="en-IN" baseline="0"/>
                      <a:t>, </a:t>
                    </a:r>
                    <a:fld id="{0E400545-BF3F-4342-9555-2560B1EC30FD}" type="XVALUE">
                      <a:rPr lang="en-IN" baseline="0"/>
                      <a:pPr/>
                      <a:t>[X VALUE]</a:t>
                    </a:fld>
                    <a:endParaRPr lang="en-IN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29-4733-860E-A9172C5526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7855E7-116E-431C-B83D-204A8297D3E8}" type="CELLRANGE">
                      <a:rPr lang="en-IN"/>
                      <a:pPr/>
                      <a:t>[CELLRANGE]</a:t>
                    </a:fld>
                    <a:r>
                      <a:rPr lang="en-IN" baseline="0"/>
                      <a:t>, </a:t>
                    </a:r>
                    <a:fld id="{3FF208D1-DA6C-40C7-9667-95B5CE7432BD}" type="XVALUE">
                      <a:rPr lang="en-IN" baseline="0"/>
                      <a:pPr/>
                      <a:t>[X VALUE]</a:t>
                    </a:fld>
                    <a:endParaRPr lang="en-IN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C29-4733-860E-A9172C5526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'Risk vs Return'!$B$2:$B$4</c:f>
              <c:numCache>
                <c:formatCode>0.00%</c:formatCode>
                <c:ptCount val="3"/>
                <c:pt idx="0">
                  <c:v>2.5548228509872366E-2</c:v>
                </c:pt>
                <c:pt idx="1">
                  <c:v>3.3447590365195477E-2</c:v>
                </c:pt>
                <c:pt idx="2">
                  <c:v>5.4071636348371387E-2</c:v>
                </c:pt>
              </c:numCache>
            </c:numRef>
          </c:xVal>
          <c:yVal>
            <c:numRef>
              <c:f>'Risk vs Return'!$C$2:$C$4</c:f>
              <c:numCache>
                <c:formatCode>0.00%</c:formatCode>
                <c:ptCount val="3"/>
                <c:pt idx="0">
                  <c:v>0.27779999999999999</c:v>
                </c:pt>
                <c:pt idx="1">
                  <c:v>0.375</c:v>
                </c:pt>
                <c:pt idx="2">
                  <c:v>0.4375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'Risk vs Return'!$A$2:$A$4</c15:f>
                <c15:dlblRangeCache>
                  <c:ptCount val="3"/>
                  <c:pt idx="0">
                    <c:v>Bitcoin</c:v>
                  </c:pt>
                  <c:pt idx="1">
                    <c:v>Ethereum</c:v>
                  </c:pt>
                  <c:pt idx="2">
                    <c:v>Solana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C29-4733-860E-A9172C55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569744"/>
        <c:axId val="1634574544"/>
      </c:scatterChart>
      <c:valAx>
        <c:axId val="1634569744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74544"/>
        <c:crosses val="autoZero"/>
        <c:crossBetween val="midCat"/>
        <c:majorUnit val="5.000000000000001E-2"/>
      </c:valAx>
      <c:valAx>
        <c:axId val="16345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</a:t>
                </a:r>
                <a:r>
                  <a:rPr lang="en-IN" baseline="0"/>
                  <a:t> return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6974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Annual Returns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Performance_Summary!$B$1</c:f>
              <c:strCache>
                <c:ptCount val="1"/>
                <c:pt idx="0">
                  <c:v>Annual Returns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Performance_Summary!$A$2:$A$4</c:f>
              <c:strCache>
                <c:ptCount val="3"/>
                <c:pt idx="0">
                  <c:v>Bitcoin</c:v>
                </c:pt>
                <c:pt idx="1">
                  <c:v>Ethereum</c:v>
                </c:pt>
                <c:pt idx="2">
                  <c:v>Solana</c:v>
                </c:pt>
              </c:strCache>
            </c:strRef>
          </c:cat>
          <c:val>
            <c:numRef>
              <c:f>Performance_Summary!$B$2:$B$4</c:f>
              <c:numCache>
                <c:formatCode>0.00%</c:formatCode>
                <c:ptCount val="3"/>
                <c:pt idx="0">
                  <c:v>0.27777777777777779</c:v>
                </c:pt>
                <c:pt idx="1">
                  <c:v>0.375</c:v>
                </c:pt>
                <c:pt idx="2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4-4A5B-AC28-932134E76E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3273840"/>
        <c:axId val="1393286320"/>
      </c:barChart>
      <c:catAx>
        <c:axId val="13932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Cryptocurrency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86320"/>
        <c:crosses val="autoZero"/>
        <c:auto val="1"/>
        <c:lblAlgn val="ctr"/>
        <c:lblOffset val="100"/>
        <c:noMultiLvlLbl val="0"/>
      </c:catAx>
      <c:valAx>
        <c:axId val="13932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Return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3810</xdr:rowOff>
    </xdr:from>
    <xdr:to>
      <xdr:col>12</xdr:col>
      <xdr:colOff>579120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61F3B-0C3C-1A90-C85D-BC6772349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4</xdr:row>
      <xdr:rowOff>179070</xdr:rowOff>
    </xdr:from>
    <xdr:to>
      <xdr:col>5</xdr:col>
      <xdr:colOff>76200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26DDD-21CB-8468-B60A-26B528853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4</xdr:row>
      <xdr:rowOff>171450</xdr:rowOff>
    </xdr:from>
    <xdr:to>
      <xdr:col>3</xdr:col>
      <xdr:colOff>830580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18A8E-E9FE-18D4-A252-C38DCED7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74C7-4995-4709-8112-7965D1BB1E04}">
  <dimension ref="A1:D15"/>
  <sheetViews>
    <sheetView tabSelected="1" workbookViewId="0">
      <selection activeCell="P5" sqref="P5"/>
    </sheetView>
  </sheetViews>
  <sheetFormatPr defaultRowHeight="14.4" x14ac:dyDescent="0.3"/>
  <cols>
    <col min="1" max="1" width="9.77734375" bestFit="1" customWidth="1"/>
    <col min="2" max="4" width="11.5546875" bestFit="1" customWidth="1"/>
  </cols>
  <sheetData>
    <row r="1" spans="1:4" x14ac:dyDescent="0.3">
      <c r="A1" s="2" t="s">
        <v>0</v>
      </c>
      <c r="B1" s="2" t="s">
        <v>13</v>
      </c>
      <c r="C1" s="2" t="s">
        <v>14</v>
      </c>
      <c r="D1" s="2" t="s">
        <v>15</v>
      </c>
    </row>
    <row r="2" spans="1:4" x14ac:dyDescent="0.3">
      <c r="A2" s="3" t="s">
        <v>1</v>
      </c>
      <c r="B2" s="3">
        <v>3600000</v>
      </c>
      <c r="C2" s="3">
        <v>240000</v>
      </c>
      <c r="D2" s="3">
        <v>8000</v>
      </c>
    </row>
    <row r="3" spans="1:4" x14ac:dyDescent="0.3">
      <c r="A3" s="3" t="s">
        <v>2</v>
      </c>
      <c r="B3" s="3">
        <v>3850000</v>
      </c>
      <c r="C3" s="3">
        <v>260000</v>
      </c>
      <c r="D3" s="3">
        <v>9200</v>
      </c>
    </row>
    <row r="4" spans="1:4" x14ac:dyDescent="0.3">
      <c r="A4" s="3" t="s">
        <v>3</v>
      </c>
      <c r="B4" s="3">
        <v>4000000</v>
      </c>
      <c r="C4" s="3">
        <v>275000</v>
      </c>
      <c r="D4" s="3">
        <v>9500</v>
      </c>
    </row>
    <row r="5" spans="1:4" x14ac:dyDescent="0.3">
      <c r="A5" s="3" t="s">
        <v>4</v>
      </c>
      <c r="B5" s="3">
        <v>3950000</v>
      </c>
      <c r="C5" s="3">
        <v>270000</v>
      </c>
      <c r="D5" s="3">
        <v>9100</v>
      </c>
    </row>
    <row r="6" spans="1:4" x14ac:dyDescent="0.3">
      <c r="A6" s="3" t="s">
        <v>5</v>
      </c>
      <c r="B6" s="3">
        <v>4100000</v>
      </c>
      <c r="C6" s="3">
        <v>285000</v>
      </c>
      <c r="D6" s="3">
        <v>9800</v>
      </c>
    </row>
    <row r="7" spans="1:4" x14ac:dyDescent="0.3">
      <c r="A7" s="3" t="s">
        <v>6</v>
      </c>
      <c r="B7" s="3">
        <v>4200000</v>
      </c>
      <c r="C7" s="3">
        <v>295000</v>
      </c>
      <c r="D7" s="3">
        <v>10000</v>
      </c>
    </row>
    <row r="8" spans="1:4" x14ac:dyDescent="0.3">
      <c r="A8" s="3" t="s">
        <v>7</v>
      </c>
      <c r="B8" s="3">
        <v>4300000</v>
      </c>
      <c r="C8" s="3">
        <v>305000</v>
      </c>
      <c r="D8" s="3">
        <v>10500</v>
      </c>
    </row>
    <row r="9" spans="1:4" x14ac:dyDescent="0.3">
      <c r="A9" s="3" t="s">
        <v>8</v>
      </c>
      <c r="B9" s="3">
        <v>4250000</v>
      </c>
      <c r="C9" s="3">
        <v>300000</v>
      </c>
      <c r="D9" s="3">
        <v>10200</v>
      </c>
    </row>
    <row r="10" spans="1:4" x14ac:dyDescent="0.3">
      <c r="A10" s="3" t="s">
        <v>9</v>
      </c>
      <c r="B10" s="3">
        <v>4400000</v>
      </c>
      <c r="C10" s="3">
        <v>310000</v>
      </c>
      <c r="D10" s="3">
        <v>10800</v>
      </c>
    </row>
    <row r="11" spans="1:4" x14ac:dyDescent="0.3">
      <c r="A11" s="3" t="s">
        <v>10</v>
      </c>
      <c r="B11" s="3">
        <v>4500000</v>
      </c>
      <c r="C11" s="3">
        <v>320000</v>
      </c>
      <c r="D11" s="3">
        <v>11000</v>
      </c>
    </row>
    <row r="12" spans="1:4" x14ac:dyDescent="0.3">
      <c r="A12" s="3" t="s">
        <v>11</v>
      </c>
      <c r="B12" s="3">
        <v>4450000</v>
      </c>
      <c r="C12" s="3">
        <v>315000</v>
      </c>
      <c r="D12" s="3">
        <v>10850</v>
      </c>
    </row>
    <row r="13" spans="1:4" x14ac:dyDescent="0.3">
      <c r="A13" s="3" t="s">
        <v>12</v>
      </c>
      <c r="B13" s="3">
        <v>4600000</v>
      </c>
      <c r="C13" s="3">
        <v>330000</v>
      </c>
      <c r="D13" s="3">
        <v>11500</v>
      </c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3"/>
      <c r="D15" s="3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F0AE-2B87-4283-A204-80874F7277B8}">
  <dimension ref="A1:D13"/>
  <sheetViews>
    <sheetView workbookViewId="0">
      <selection activeCell="C21" sqref="C21"/>
    </sheetView>
  </sheetViews>
  <sheetFormatPr defaultRowHeight="14.4" x14ac:dyDescent="0.3"/>
  <cols>
    <col min="1" max="1" width="9.77734375" bestFit="1" customWidth="1"/>
    <col min="2" max="4" width="12.6640625" bestFit="1" customWidth="1"/>
  </cols>
  <sheetData>
    <row r="1" spans="1:4" x14ac:dyDescent="0.3">
      <c r="A1" s="2" t="s">
        <v>0</v>
      </c>
      <c r="B1" s="2" t="s">
        <v>17</v>
      </c>
      <c r="C1" s="2" t="s">
        <v>18</v>
      </c>
      <c r="D1" s="2" t="s">
        <v>19</v>
      </c>
    </row>
    <row r="2" spans="1:4" x14ac:dyDescent="0.3">
      <c r="A2" s="3" t="s">
        <v>1</v>
      </c>
      <c r="B2" s="3" t="s">
        <v>16</v>
      </c>
      <c r="C2" s="3" t="s">
        <v>16</v>
      </c>
      <c r="D2" s="3" t="s">
        <v>16</v>
      </c>
    </row>
    <row r="3" spans="1:4" x14ac:dyDescent="0.3">
      <c r="A3" s="3" t="s">
        <v>2</v>
      </c>
      <c r="B3" s="4">
        <f>(Price_Data!B3-Price_Data!B2)/Price_Data!B2</f>
        <v>6.9444444444444448E-2</v>
      </c>
      <c r="C3" s="4">
        <f>(Price_Data!C3-Price_Data!C2)/Price_Data!C2</f>
        <v>8.3333333333333329E-2</v>
      </c>
      <c r="D3" s="4">
        <f>(Price_Data!D3-Price_Data!D2)/Price_Data!D2</f>
        <v>0.15</v>
      </c>
    </row>
    <row r="4" spans="1:4" x14ac:dyDescent="0.3">
      <c r="A4" s="3" t="s">
        <v>3</v>
      </c>
      <c r="B4" s="4">
        <f>(Price_Data!B4-Price_Data!B3)/Price_Data!B3</f>
        <v>3.896103896103896E-2</v>
      </c>
      <c r="C4" s="4">
        <f>(Price_Data!C4-Price_Data!C3)/Price_Data!C3</f>
        <v>5.7692307692307696E-2</v>
      </c>
      <c r="D4" s="4">
        <f>(Price_Data!D4-Price_Data!D3)/Price_Data!D3</f>
        <v>3.2608695652173912E-2</v>
      </c>
    </row>
    <row r="5" spans="1:4" x14ac:dyDescent="0.3">
      <c r="A5" s="3" t="s">
        <v>4</v>
      </c>
      <c r="B5" s="4">
        <f>(Price_Data!B5-Price_Data!B4)/Price_Data!B4</f>
        <v>-1.2500000000000001E-2</v>
      </c>
      <c r="C5" s="4">
        <f>(Price_Data!C5-Price_Data!C4)/Price_Data!C4</f>
        <v>-1.8181818181818181E-2</v>
      </c>
      <c r="D5" s="4">
        <f>(Price_Data!D5-Price_Data!D4)/Price_Data!D4</f>
        <v>-4.2105263157894736E-2</v>
      </c>
    </row>
    <row r="6" spans="1:4" x14ac:dyDescent="0.3">
      <c r="A6" s="3" t="s">
        <v>5</v>
      </c>
      <c r="B6" s="4">
        <f>(Price_Data!B6-Price_Data!B5)/Price_Data!B5</f>
        <v>3.7974683544303799E-2</v>
      </c>
      <c r="C6" s="4">
        <f>(Price_Data!C6-Price_Data!C5)/Price_Data!C5</f>
        <v>5.5555555555555552E-2</v>
      </c>
      <c r="D6" s="4">
        <f>(Price_Data!D6-Price_Data!D5)/Price_Data!D5</f>
        <v>7.6923076923076927E-2</v>
      </c>
    </row>
    <row r="7" spans="1:4" x14ac:dyDescent="0.3">
      <c r="A7" s="3" t="s">
        <v>6</v>
      </c>
      <c r="B7" s="4">
        <f>(Price_Data!B7-Price_Data!B6)/Price_Data!B6</f>
        <v>2.4390243902439025E-2</v>
      </c>
      <c r="C7" s="4">
        <f>(Price_Data!C7-Price_Data!C6)/Price_Data!C6</f>
        <v>3.5087719298245612E-2</v>
      </c>
      <c r="D7" s="4">
        <f>(Price_Data!D7-Price_Data!D6)/Price_Data!D6</f>
        <v>2.0408163265306121E-2</v>
      </c>
    </row>
    <row r="8" spans="1:4" x14ac:dyDescent="0.3">
      <c r="A8" s="3" t="s">
        <v>7</v>
      </c>
      <c r="B8" s="4">
        <f>(Price_Data!B8-Price_Data!B7)/Price_Data!B7</f>
        <v>2.3809523809523808E-2</v>
      </c>
      <c r="C8" s="4">
        <f>(Price_Data!C8-Price_Data!C7)/Price_Data!C7</f>
        <v>3.3898305084745763E-2</v>
      </c>
      <c r="D8" s="4">
        <f>(Price_Data!D8-Price_Data!D7)/Price_Data!D7</f>
        <v>0.05</v>
      </c>
    </row>
    <row r="9" spans="1:4" x14ac:dyDescent="0.3">
      <c r="A9" s="3" t="s">
        <v>8</v>
      </c>
      <c r="B9" s="4">
        <f>(Price_Data!B9-Price_Data!B8)/Price_Data!B8</f>
        <v>-1.1627906976744186E-2</v>
      </c>
      <c r="C9" s="4">
        <f>(Price_Data!C9-Price_Data!C8)/Price_Data!C8</f>
        <v>-1.6393442622950821E-2</v>
      </c>
      <c r="D9" s="4">
        <f>(Price_Data!D9-Price_Data!D8)/Price_Data!D8</f>
        <v>-2.8571428571428571E-2</v>
      </c>
    </row>
    <row r="10" spans="1:4" x14ac:dyDescent="0.3">
      <c r="A10" s="3" t="s">
        <v>9</v>
      </c>
      <c r="B10" s="4">
        <f>(Price_Data!B10-Price_Data!B9)/Price_Data!B9</f>
        <v>3.5294117647058823E-2</v>
      </c>
      <c r="C10" s="4">
        <f>(Price_Data!C10-Price_Data!C9)/Price_Data!C9</f>
        <v>3.3333333333333333E-2</v>
      </c>
      <c r="D10" s="4">
        <f>(Price_Data!D10-Price_Data!D9)/Price_Data!D9</f>
        <v>5.8823529411764705E-2</v>
      </c>
    </row>
    <row r="11" spans="1:4" x14ac:dyDescent="0.3">
      <c r="A11" s="3" t="s">
        <v>10</v>
      </c>
      <c r="B11" s="4">
        <f>(Price_Data!B11-Price_Data!B10)/Price_Data!B10</f>
        <v>2.2727272727272728E-2</v>
      </c>
      <c r="C11" s="4">
        <f>(Price_Data!C11-Price_Data!C10)/Price_Data!C10</f>
        <v>3.2258064516129031E-2</v>
      </c>
      <c r="D11" s="4">
        <f>(Price_Data!D11-Price_Data!D10)/Price_Data!D10</f>
        <v>1.8518518518518517E-2</v>
      </c>
    </row>
    <row r="12" spans="1:4" x14ac:dyDescent="0.3">
      <c r="A12" s="3" t="s">
        <v>11</v>
      </c>
      <c r="B12" s="4">
        <f>(Price_Data!B12-Price_Data!B11)/Price_Data!B11</f>
        <v>-1.1111111111111112E-2</v>
      </c>
      <c r="C12" s="4">
        <f>(Price_Data!C12-Price_Data!C11)/Price_Data!C11</f>
        <v>-1.5625E-2</v>
      </c>
      <c r="D12" s="4">
        <f>(Price_Data!D12-Price_Data!D11)/Price_Data!D11</f>
        <v>-1.3636363636363636E-2</v>
      </c>
    </row>
    <row r="13" spans="1:4" x14ac:dyDescent="0.3">
      <c r="A13" s="3" t="s">
        <v>12</v>
      </c>
      <c r="B13" s="4">
        <f>(Price_Data!B13-Price_Data!B12)/Price_Data!B12</f>
        <v>3.3707865168539325E-2</v>
      </c>
      <c r="C13" s="4">
        <f>(Price_Data!C13-Price_Data!C12)/Price_Data!C12</f>
        <v>4.7619047619047616E-2</v>
      </c>
      <c r="D13" s="4">
        <f>(Price_Data!D13-Price_Data!D12)/Price_Data!D12</f>
        <v>5.9907834101382486E-2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2379-9004-4F8B-A831-A209EEC2B7FD}">
  <dimension ref="A1:D4"/>
  <sheetViews>
    <sheetView workbookViewId="0">
      <selection activeCell="B1" sqref="B1:C4"/>
    </sheetView>
  </sheetViews>
  <sheetFormatPr defaultRowHeight="14.4" x14ac:dyDescent="0.3"/>
  <cols>
    <col min="1" max="1" width="14.109375" bestFit="1" customWidth="1"/>
    <col min="2" max="2" width="14.88671875" bestFit="1" customWidth="1"/>
    <col min="3" max="3" width="15.109375" bestFit="1" customWidth="1"/>
  </cols>
  <sheetData>
    <row r="1" spans="1:4" x14ac:dyDescent="0.3">
      <c r="A1" s="2" t="s">
        <v>20</v>
      </c>
      <c r="B1" s="2" t="s">
        <v>33</v>
      </c>
      <c r="C1" s="2" t="s">
        <v>34</v>
      </c>
      <c r="D1" s="3"/>
    </row>
    <row r="2" spans="1:4" x14ac:dyDescent="0.3">
      <c r="A2" s="3" t="s">
        <v>24</v>
      </c>
      <c r="B2" s="5">
        <f>_xlfn.STDEV.S(Monthly_Returns!B3:B13)</f>
        <v>2.5548228509872366E-2</v>
      </c>
      <c r="C2" s="4">
        <v>0.27779999999999999</v>
      </c>
      <c r="D2" s="3"/>
    </row>
    <row r="3" spans="1:4" x14ac:dyDescent="0.3">
      <c r="A3" s="3" t="s">
        <v>25</v>
      </c>
      <c r="B3" s="5">
        <f>_xlfn.STDEV.S(Monthly_Returns!C3:C13)</f>
        <v>3.3447590365195477E-2</v>
      </c>
      <c r="C3" s="4">
        <v>0.375</v>
      </c>
      <c r="D3" s="3"/>
    </row>
    <row r="4" spans="1:4" x14ac:dyDescent="0.3">
      <c r="A4" s="3" t="s">
        <v>26</v>
      </c>
      <c r="B4" s="5">
        <f>_xlfn.STDEV.S(Monthly_Returns!D3:D13)</f>
        <v>5.4071636348371387E-2</v>
      </c>
      <c r="C4" s="4">
        <v>0.4375</v>
      </c>
      <c r="D4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6B2D-F8A1-4D39-A5D0-31CFA2B2B3E5}">
  <dimension ref="A1:D4"/>
  <sheetViews>
    <sheetView workbookViewId="0">
      <selection activeCell="A2" sqref="A2:A4"/>
    </sheetView>
  </sheetViews>
  <sheetFormatPr defaultRowHeight="14.4" x14ac:dyDescent="0.3"/>
  <cols>
    <col min="1" max="1" width="14.109375" bestFit="1" customWidth="1"/>
    <col min="2" max="2" width="15.88671875" bestFit="1" customWidth="1"/>
    <col min="3" max="3" width="11.88671875" bestFit="1" customWidth="1"/>
    <col min="4" max="4" width="15.21875" bestFit="1" customWidth="1"/>
  </cols>
  <sheetData>
    <row r="1" spans="1:4" x14ac:dyDescent="0.3">
      <c r="A1" s="1" t="s">
        <v>20</v>
      </c>
      <c r="B1" s="1" t="s">
        <v>21</v>
      </c>
      <c r="C1" s="2" t="s">
        <v>22</v>
      </c>
      <c r="D1" s="1" t="s">
        <v>23</v>
      </c>
    </row>
    <row r="2" spans="1:4" x14ac:dyDescent="0.3">
      <c r="A2" s="3" t="s">
        <v>24</v>
      </c>
      <c r="B2" s="5">
        <f>(Price_Data!B13-Price_Data!B2)/Price_Data!B2</f>
        <v>0.27777777777777779</v>
      </c>
      <c r="C2" s="3" t="s">
        <v>27</v>
      </c>
      <c r="D2" s="3" t="s">
        <v>30</v>
      </c>
    </row>
    <row r="3" spans="1:4" x14ac:dyDescent="0.3">
      <c r="A3" s="3" t="s">
        <v>25</v>
      </c>
      <c r="B3" s="5">
        <f>(Price_Data!C13-Price_Data!C2)/Price_Data!C2</f>
        <v>0.375</v>
      </c>
      <c r="C3" s="3" t="s">
        <v>28</v>
      </c>
      <c r="D3" s="3" t="s">
        <v>31</v>
      </c>
    </row>
    <row r="4" spans="1:4" x14ac:dyDescent="0.3">
      <c r="A4" s="3" t="s">
        <v>26</v>
      </c>
      <c r="B4" s="5">
        <f>(Price_Data!D13-Price_Data!D2)/Price_Data!D2</f>
        <v>0.4375</v>
      </c>
      <c r="C4" s="3" t="s">
        <v>29</v>
      </c>
      <c r="D4" s="3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Price_Data</vt:lpstr>
      <vt:lpstr>Monthly_Returns</vt:lpstr>
      <vt:lpstr>Risk vs Return</vt:lpstr>
      <vt:lpstr>Performance_Summary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Bhaswati Mondal</dc:creator>
  <cp:lastModifiedBy>Bhaswati Mondal</cp:lastModifiedBy>
  <dcterms:created xsi:type="dcterms:W3CDTF">2026-01-03T15:33:26Z</dcterms:created>
  <dcterms:modified xsi:type="dcterms:W3CDTF">2026-01-04T03:12:58Z</dcterms:modified>
</cp:coreProperties>
</file>