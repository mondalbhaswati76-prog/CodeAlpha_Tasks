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03FC95E4-980B-4D47-A0FB-896668E9E508}" xr6:coauthVersionLast="47" xr6:coauthVersionMax="47" xr10:uidLastSave="{00000000-0000-0000-0000-000000000000}"/>
  <bookViews>
    <workbookView xWindow="-108" yWindow="-108" windowWidth="23256" windowHeight="12456" xr2:uid="{0DBE0A41-A0BD-4746-A0CB-BEA4C340D885}"/>
  </bookViews>
  <sheets>
    <sheet name="Investment portfolio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E11" i="1"/>
  <c r="D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<sst xmlns="http://schemas.openxmlformats.org/spreadsheetml/2006/main" count="36" uniqueCount="26">
  <si>
    <t>Asset Class</t>
  </si>
  <si>
    <t>Investment</t>
  </si>
  <si>
    <t>Type</t>
  </si>
  <si>
    <t>Amount</t>
  </si>
  <si>
    <t>Allocation %</t>
  </si>
  <si>
    <t>Stocks</t>
  </si>
  <si>
    <t>ETF</t>
  </si>
  <si>
    <t>Crypto</t>
  </si>
  <si>
    <t>Reliance Industries</t>
  </si>
  <si>
    <t>TCS</t>
  </si>
  <si>
    <t>HDFC Bank</t>
  </si>
  <si>
    <t>Nifty 50 ETF</t>
  </si>
  <si>
    <t>Gold ETF</t>
  </si>
  <si>
    <t>Bank Nifty ETF</t>
  </si>
  <si>
    <t>Bitcoin</t>
  </si>
  <si>
    <t>Ethereum</t>
  </si>
  <si>
    <t>Company</t>
  </si>
  <si>
    <t>IT</t>
  </si>
  <si>
    <t>Banking</t>
  </si>
  <si>
    <t>Index</t>
  </si>
  <si>
    <t>Commodity</t>
  </si>
  <si>
    <t>Sector</t>
  </si>
  <si>
    <t>Cryptocurrency</t>
  </si>
  <si>
    <t>Total portfolio</t>
  </si>
  <si>
    <t>Total</t>
  </si>
  <si>
    <t>Asset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</si>
</sst>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Asset</a:t>
            </a:r>
            <a:r>
              <a:rPr lang="en-US" baseline="0"/>
              <a:t> Allocation of Investment Portfolio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AFC-445C-AE6F-7C9C205777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AFC-445C-AE6F-7C9C2057774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AFC-445C-AE6F-7C9C205777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Chart!$A$2:$A$4</c:f>
              <c:strCache>
                <c:ptCount val="3"/>
                <c:pt idx="0">
                  <c:v>Stocks</c:v>
                </c:pt>
                <c:pt idx="1">
                  <c:v>ETF</c:v>
                </c:pt>
                <c:pt idx="2">
                  <c:v>Crypto</c:v>
                </c:pt>
              </c:strCache>
            </c:strRef>
          </c:cat>
          <c:val>
            <c:numRef>
              <c:f>Chart!$B$2:$B$4</c:f>
              <c:numCache>
                <c:formatCode>General</c:formatCode>
                <c:ptCount val="3"/>
                <c:pt idx="0">
                  <c:v>50000</c:v>
                </c:pt>
                <c:pt idx="1">
                  <c:v>30000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6-4D4E-8283-897396A9F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179070</xdr:rowOff>
    </xdr:from>
    <xdr:to>
      <xdr:col>10</xdr:col>
      <xdr:colOff>304800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CD7B6-CA42-EC46-91B3-6F48474CF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7E97-053D-4617-BD65-CBCBCCE279C8}">
  <dimension ref="A1:E11"/>
  <sheetViews>
    <sheetView tabSelected="1" workbookViewId="0">
      <selection activeCell="N15" sqref="N15"/>
    </sheetView>
  </sheetViews>
  <sheetFormatPr defaultRowHeight="14.4" x14ac:dyDescent="0.3"/>
  <cols>
    <col min="1" max="1" width="12.88671875" bestFit="1" customWidth="1"/>
    <col min="2" max="2" width="16.33203125" bestFit="1" customWidth="1"/>
    <col min="3" max="3" width="13.5546875" bestFit="1" customWidth="1"/>
    <col min="4" max="4" width="7.44140625" bestFit="1" customWidth="1"/>
    <col min="5" max="5" width="11.109375" bestFit="1" customWidth="1"/>
  </cols>
  <sheetData>
    <row r="1" spans="1:5" x14ac:dyDescent="0.3">
      <c r="A1" s="2" t="s">
        <v>23</v>
      </c>
      <c r="B1" s="3">
        <v>100000</v>
      </c>
      <c r="C1" s="4"/>
      <c r="D1" s="4"/>
      <c r="E1" s="4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4" t="s">
        <v>5</v>
      </c>
      <c r="B3" s="4" t="s">
        <v>8</v>
      </c>
      <c r="C3" s="4" t="s">
        <v>16</v>
      </c>
      <c r="D3" s="4">
        <v>20000</v>
      </c>
      <c r="E3" s="4">
        <f>D3/B1*100</f>
        <v>20</v>
      </c>
    </row>
    <row r="4" spans="1:5" x14ac:dyDescent="0.3">
      <c r="A4" s="4" t="s">
        <v>5</v>
      </c>
      <c r="B4" s="4" t="s">
        <v>9</v>
      </c>
      <c r="C4" s="4" t="s">
        <v>17</v>
      </c>
      <c r="D4" s="4">
        <v>15000</v>
      </c>
      <c r="E4" s="4">
        <f>D4/B1*100</f>
        <v>15</v>
      </c>
    </row>
    <row r="5" spans="1:5" x14ac:dyDescent="0.3">
      <c r="A5" s="4" t="s">
        <v>5</v>
      </c>
      <c r="B5" s="4" t="s">
        <v>10</v>
      </c>
      <c r="C5" s="4" t="s">
        <v>18</v>
      </c>
      <c r="D5" s="4">
        <v>15000</v>
      </c>
      <c r="E5" s="4">
        <f>D5/B1*100</f>
        <v>15</v>
      </c>
    </row>
    <row r="6" spans="1:5" x14ac:dyDescent="0.3">
      <c r="A6" s="4" t="s">
        <v>6</v>
      </c>
      <c r="B6" s="4" t="s">
        <v>11</v>
      </c>
      <c r="C6" s="4" t="s">
        <v>19</v>
      </c>
      <c r="D6" s="4">
        <v>15000</v>
      </c>
      <c r="E6" s="4">
        <f>D6/B1*100</f>
        <v>15</v>
      </c>
    </row>
    <row r="7" spans="1:5" x14ac:dyDescent="0.3">
      <c r="A7" s="4" t="s">
        <v>6</v>
      </c>
      <c r="B7" s="4" t="s">
        <v>12</v>
      </c>
      <c r="C7" s="4" t="s">
        <v>20</v>
      </c>
      <c r="D7" s="4">
        <v>10000</v>
      </c>
      <c r="E7" s="4">
        <f>D7/B1*100</f>
        <v>10</v>
      </c>
    </row>
    <row r="8" spans="1:5" x14ac:dyDescent="0.3">
      <c r="A8" s="4" t="s">
        <v>6</v>
      </c>
      <c r="B8" s="4" t="s">
        <v>13</v>
      </c>
      <c r="C8" s="4" t="s">
        <v>21</v>
      </c>
      <c r="D8" s="4">
        <v>5000</v>
      </c>
      <c r="E8" s="4">
        <f>D8/B1*100</f>
        <v>5</v>
      </c>
    </row>
    <row r="9" spans="1:5" x14ac:dyDescent="0.3">
      <c r="A9" s="4" t="s">
        <v>7</v>
      </c>
      <c r="B9" s="4" t="s">
        <v>14</v>
      </c>
      <c r="C9" s="4" t="s">
        <v>22</v>
      </c>
      <c r="D9" s="4">
        <v>12000</v>
      </c>
      <c r="E9" s="4">
        <f>D9/B1*100</f>
        <v>12</v>
      </c>
    </row>
    <row r="10" spans="1:5" x14ac:dyDescent="0.3">
      <c r="A10" s="4" t="s">
        <v>7</v>
      </c>
      <c r="B10" s="4" t="s">
        <v>15</v>
      </c>
      <c r="C10" s="4" t="s">
        <v>22</v>
      </c>
      <c r="D10" s="4">
        <v>8000</v>
      </c>
      <c r="E10" s="4">
        <f>D10/B1*100</f>
        <v>8</v>
      </c>
    </row>
    <row r="11" spans="1:5" x14ac:dyDescent="0.3">
      <c r="A11" s="2" t="s">
        <v>24</v>
      </c>
      <c r="D11" s="1">
        <f>SUM(D3:D10)</f>
        <v>100000</v>
      </c>
      <c r="E11" s="2">
        <f>SUM(E3:E10)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A522-5493-460F-8148-D26F54182C32}">
  <dimension ref="A1:B4"/>
  <sheetViews>
    <sheetView workbookViewId="0">
      <selection activeCell="L19" sqref="L19"/>
    </sheetView>
  </sheetViews>
  <sheetFormatPr defaultRowHeight="14.4" x14ac:dyDescent="0.3"/>
  <cols>
    <col min="1" max="1" width="9.77734375" bestFit="1" customWidth="1"/>
    <col min="2" max="2" width="7.88671875" bestFit="1" customWidth="1"/>
  </cols>
  <sheetData>
    <row r="1" spans="1:2" x14ac:dyDescent="0.3">
      <c r="A1" s="2" t="s">
        <v>25</v>
      </c>
      <c r="B1" s="2" t="s">
        <v>3</v>
      </c>
    </row>
    <row r="2" spans="1:2" x14ac:dyDescent="0.3">
      <c r="A2" t="s">
        <v>5</v>
      </c>
      <c r="B2">
        <f>SUM('Investment portfolio'!D3:D5)</f>
        <v>50000</v>
      </c>
    </row>
    <row r="3" spans="1:2" x14ac:dyDescent="0.3">
      <c r="A3" t="s">
        <v>6</v>
      </c>
      <c r="B3">
        <f>SUM('Investment portfolio'!D6:D8)</f>
        <v>30000</v>
      </c>
    </row>
    <row r="4" spans="1:2" x14ac:dyDescent="0.3">
      <c r="A4" t="s">
        <v>7</v>
      </c>
      <c r="B4">
        <f>SUM('Investment portfolio'!D9:D10)</f>
        <v>20000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684e7e-23ec-4317-8300-ac99a852ed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55A2BE519914794A3C98197A66E9A" ma:contentTypeVersion="6" ma:contentTypeDescription="Create a new document." ma:contentTypeScope="" ma:versionID="4d0323dddc1ceb45de9f73419c2d2c1a">
  <xsd:schema xmlns:xsd="http://www.w3.org/2001/XMLSchema" xmlns:xs="http://www.w3.org/2001/XMLSchema" xmlns:p="http://schemas.microsoft.com/office/2006/metadata/properties" xmlns:ns3="4d684e7e-23ec-4317-8300-ac99a852edfc" targetNamespace="http://schemas.microsoft.com/office/2006/metadata/properties" ma:root="true" ma:fieldsID="0e1e0aa023d68749aae7aeb14cbb79f6" ns3:_="">
    <xsd:import namespace="4d684e7e-23ec-4317-8300-ac99a852ed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84e7e-23ec-4317-8300-ac99a852ed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8FE4F9-9731-472B-A371-AAD3C9655FDC}">
  <ds:schemaRefs>
    <ds:schemaRef ds:uri="http://purl.org/dc/terms/"/>
    <ds:schemaRef ds:uri="http://schemas.microsoft.com/office/2006/documentManagement/types"/>
    <ds:schemaRef ds:uri="http://purl.org/dc/dcmitype/"/>
    <ds:schemaRef ds:uri="4d684e7e-23ec-4317-8300-ac99a852edfc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6F4F5D6-68F4-4C91-9C6C-B90F5809BD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2CFD30-7389-49AC-9B02-1B3004D96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84e7e-23ec-4317-8300-ac99a852ed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 portfolio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Bhaswati Mondal</dc:creator>
  <cp:lastModifiedBy>Bhaswati Mondal</cp:lastModifiedBy>
  <dcterms:created xsi:type="dcterms:W3CDTF">2026-01-05T12:26:08Z</dcterms:created>
  <dcterms:modified xsi:type="dcterms:W3CDTF">2026-01-06T00:02:10Z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0x010100D6755A2BE519914794A3C98197A66E9A</vt:lpwstr>
  </property>
</Properties>
</file>